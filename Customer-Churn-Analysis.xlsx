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91940c593e260a/Documents/Portfolio/Customer-Churn-Analysis.xlsx/"/>
    </mc:Choice>
  </mc:AlternateContent>
  <xr:revisionPtr revIDLastSave="141" documentId="8_{17B085AA-6375-41FA-865E-F04C520A1AE8}" xr6:coauthVersionLast="47" xr6:coauthVersionMax="47" xr10:uidLastSave="{BC1CDD4E-BC7C-4CBA-81C0-0E73ADFFAB78}"/>
  <bookViews>
    <workbookView xWindow="-120" yWindow="-120" windowWidth="20730" windowHeight="11040" activeTab="1" xr2:uid="{9BA16E6B-B02C-4F13-B2A6-AC9B42C48B85}"/>
  </bookViews>
  <sheets>
    <sheet name="Customer Data" sheetId="1" r:id="rId1"/>
    <sheet name="Customer Churn Analy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1" i="2" l="1"/>
  <c r="C31" i="2"/>
  <c r="B32" i="2"/>
  <c r="C32" i="2"/>
  <c r="B33" i="2"/>
  <c r="C33" i="2"/>
  <c r="B34" i="2"/>
  <c r="C34" i="2"/>
  <c r="B35" i="2"/>
  <c r="C35" i="2"/>
  <c r="B36" i="2"/>
  <c r="C36" i="2"/>
  <c r="B37" i="2"/>
  <c r="C37" i="2"/>
  <c r="B38" i="2"/>
  <c r="C38" i="2"/>
  <c r="C30" i="2"/>
  <c r="B30" i="2"/>
  <c r="C21" i="2"/>
  <c r="C22" i="2"/>
  <c r="C23" i="2"/>
  <c r="B21" i="2"/>
  <c r="B22" i="2"/>
  <c r="B23" i="2"/>
  <c r="C20" i="2"/>
  <c r="B20" i="2"/>
  <c r="C14" i="2"/>
  <c r="B14" i="2"/>
  <c r="C13" i="2"/>
  <c r="B13" i="2"/>
  <c r="B7" i="2"/>
  <c r="B6" i="2"/>
  <c r="B5" i="2"/>
  <c r="B4" i="2"/>
  <c r="B3" i="2"/>
</calcChain>
</file>

<file path=xl/sharedStrings.xml><?xml version="1.0" encoding="utf-8"?>
<sst xmlns="http://schemas.openxmlformats.org/spreadsheetml/2006/main" count="152" uniqueCount="56">
  <si>
    <t>Customer ID</t>
  </si>
  <si>
    <t>Age</t>
  </si>
  <si>
    <t>Region</t>
  </si>
  <si>
    <t>Contract Type</t>
  </si>
  <si>
    <t>Monthly Spend</t>
  </si>
  <si>
    <t>Tenure Months</t>
  </si>
  <si>
    <t>Support Tickets</t>
  </si>
  <si>
    <t>Churn</t>
  </si>
  <si>
    <t>C001</t>
  </si>
  <si>
    <t>Gauteng</t>
  </si>
  <si>
    <t>Monthly</t>
  </si>
  <si>
    <t>Yes</t>
  </si>
  <si>
    <t>C002</t>
  </si>
  <si>
    <t>Mpumalanga</t>
  </si>
  <si>
    <t>Annual</t>
  </si>
  <si>
    <t>No</t>
  </si>
  <si>
    <t>C003</t>
  </si>
  <si>
    <t>Limpopo</t>
  </si>
  <si>
    <t>C004</t>
  </si>
  <si>
    <t>C005</t>
  </si>
  <si>
    <t>North West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</si>
  <si>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</si>
  <si>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</si>
  <si>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</si>
  <si>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</si>
  <si>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</si>
  <si>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</si>
  <si>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</si>
  <si>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</si>
  <si>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</si>
  <si>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</si>
  <si>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</si>
  <si>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</si>
  <si>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</si>
  <si>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</si>
  <si>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</si>
  <si>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</si>
  <si>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</si>
  <si>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Total Customers</t>
  </si>
  <si>
    <t>Churned Customers</t>
  </si>
  <si>
    <t>Churn Rate</t>
  </si>
  <si>
    <t>Customer Churn Analysis</t>
  </si>
  <si>
    <t>Average Monthly Spend</t>
  </si>
  <si>
    <t>Average Tenure</t>
  </si>
  <si>
    <t>C023</t>
  </si>
  <si>
    <t>C024</t>
  </si>
  <si>
    <t>C025</t>
  </si>
  <si>
    <t>C026</t>
  </si>
  <si>
    <t>C027</t>
  </si>
  <si>
    <t>C028</t>
  </si>
  <si>
    <t>C029</t>
  </si>
  <si>
    <t>C030</t>
  </si>
  <si>
    <t>Churn by Contract Type</t>
  </si>
  <si>
    <t>Churn by Region</t>
  </si>
  <si>
    <t>Churn by Support Tickets</t>
  </si>
  <si>
    <t>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</si>
</sst>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/>
    </xf>
    <xf numFmtId="1" fontId="0" fillId="0" borderId="1" xfId="1" applyNumberFormat="1" applyFont="1" applyBorder="1"/>
    <xf numFmtId="9" fontId="0" fillId="0" borderId="1" xfId="1" applyFont="1" applyBorder="1"/>
    <xf numFmtId="2" fontId="0" fillId="0" borderId="1" xfId="0" applyNumberFormat="1" applyBorder="1"/>
    <xf numFmtId="0" fontId="3" fillId="0" borderId="0" xfId="0" applyFont="1"/>
    <xf numFmtId="0" fontId="4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Churn</a:t>
            </a:r>
            <a:r>
              <a:rPr lang="en-ZA" baseline="0"/>
              <a:t> by Contract Type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Churn Analysis'!$A$13</c:f>
              <c:strCache>
                <c:ptCount val="1"/>
                <c:pt idx="0">
                  <c:v>Monthly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Churn Analysis'!$B$12:$C$12</c:f>
              <c:strCache>
                <c:ptCount val="2"/>
                <c:pt idx="0">
                  <c:v>Total Customers</c:v>
                </c:pt>
                <c:pt idx="1">
                  <c:v>Churned Customers</c:v>
                </c:pt>
              </c:strCache>
            </c:strRef>
          </c:cat>
          <c:val>
            <c:numRef>
              <c:f>'Customer Churn Analysis'!$B$13:$C$13</c:f>
              <c:numCache>
                <c:formatCode>General</c:formatCode>
                <c:ptCount val="2"/>
                <c:pt idx="0">
                  <c:v>18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27-4465-97E5-D2FE5603E1ED}"/>
            </c:ext>
          </c:extLst>
        </c:ser>
        <c:ser>
          <c:idx val="1"/>
          <c:order val="1"/>
          <c:tx>
            <c:strRef>
              <c:f>'Customer Churn Analysis'!$A$14</c:f>
              <c:strCache>
                <c:ptCount val="1"/>
                <c:pt idx="0">
                  <c:v>Annual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'Customer Churn Analysis'!$B$12:$C$12</c:f>
              <c:strCache>
                <c:ptCount val="2"/>
                <c:pt idx="0">
                  <c:v>Total Customers</c:v>
                </c:pt>
                <c:pt idx="1">
                  <c:v>Churned Customers</c:v>
                </c:pt>
              </c:strCache>
            </c:strRef>
          </c:cat>
          <c:val>
            <c:numRef>
              <c:f>'Customer Churn Analysis'!$B$14:$C$14</c:f>
              <c:numCache>
                <c:formatCode>General</c:formatCode>
                <c:ptCount val="2"/>
                <c:pt idx="0">
                  <c:v>12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27-4465-97E5-D2FE5603E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4339152"/>
        <c:axId val="797079408"/>
      </c:barChart>
      <c:catAx>
        <c:axId val="100433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079408"/>
        <c:crosses val="autoZero"/>
        <c:auto val="1"/>
        <c:lblAlgn val="ctr"/>
        <c:lblOffset val="100"/>
        <c:noMultiLvlLbl val="0"/>
      </c:catAx>
      <c:valAx>
        <c:axId val="79707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33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Churn</a:t>
            </a:r>
            <a:r>
              <a:rPr lang="en-ZA" baseline="0"/>
              <a:t> By Region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Churn Analysis'!$B$19</c:f>
              <c:strCache>
                <c:ptCount val="1"/>
                <c:pt idx="0">
                  <c:v>Total 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Churn Analysis'!$A$20:$A$23</c:f>
              <c:strCache>
                <c:ptCount val="4"/>
                <c:pt idx="0">
                  <c:v>Gauteng</c:v>
                </c:pt>
                <c:pt idx="1">
                  <c:v>Mpumalanga</c:v>
                </c:pt>
                <c:pt idx="2">
                  <c:v>Limpopo</c:v>
                </c:pt>
                <c:pt idx="3">
                  <c:v>North West</c:v>
                </c:pt>
              </c:strCache>
            </c:strRef>
          </c:cat>
          <c:val>
            <c:numRef>
              <c:f>'Customer Churn Analysis'!$B$20:$B$23</c:f>
              <c:numCache>
                <c:formatCode>General</c:formatCode>
                <c:ptCount val="4"/>
                <c:pt idx="0">
                  <c:v>12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CD-46EB-99C4-403A687AD513}"/>
            </c:ext>
          </c:extLst>
        </c:ser>
        <c:ser>
          <c:idx val="1"/>
          <c:order val="1"/>
          <c:tx>
            <c:strRef>
              <c:f>'Customer Churn Analysis'!$C$19</c:f>
              <c:strCache>
                <c:ptCount val="1"/>
                <c:pt idx="0">
                  <c:v>Churned Customers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'Customer Churn Analysis'!$A$20:$A$23</c:f>
              <c:strCache>
                <c:ptCount val="4"/>
                <c:pt idx="0">
                  <c:v>Gauteng</c:v>
                </c:pt>
                <c:pt idx="1">
                  <c:v>Mpumalanga</c:v>
                </c:pt>
                <c:pt idx="2">
                  <c:v>Limpopo</c:v>
                </c:pt>
                <c:pt idx="3">
                  <c:v>North West</c:v>
                </c:pt>
              </c:strCache>
            </c:strRef>
          </c:cat>
          <c:val>
            <c:numRef>
              <c:f>'Customer Churn Analysis'!$C$20:$C$23</c:f>
              <c:numCache>
                <c:formatCode>General</c:formatCode>
                <c:ptCount val="4"/>
                <c:pt idx="0">
                  <c:v>4</c:v>
                </c:pt>
                <c:pt idx="1">
                  <c:v>3</c:v>
                </c:pt>
                <c:pt idx="2">
                  <c:v>1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CD-46EB-99C4-403A687AD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4264912"/>
        <c:axId val="797130288"/>
      </c:barChart>
      <c:catAx>
        <c:axId val="100426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130288"/>
        <c:crosses val="autoZero"/>
        <c:auto val="1"/>
        <c:lblAlgn val="ctr"/>
        <c:lblOffset val="100"/>
        <c:noMultiLvlLbl val="0"/>
      </c:catAx>
      <c:valAx>
        <c:axId val="79713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264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Churn</a:t>
            </a:r>
            <a:r>
              <a:rPr lang="en-ZA" baseline="0"/>
              <a:t> by Support Tickets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Churn Analysis'!$A$29</c:f>
              <c:strCache>
                <c:ptCount val="1"/>
                <c:pt idx="0">
                  <c:v>Support Tickets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'Customer Churn Analysis'!$A$30:$A$38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A3-4214-A498-9E11BD8E38AD}"/>
            </c:ext>
          </c:extLst>
        </c:ser>
        <c:ser>
          <c:idx val="1"/>
          <c:order val="1"/>
          <c:tx>
            <c:strRef>
              <c:f>'Customer Churn Analysis'!$B$29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'Customer Churn Analysis'!$B$30:$B$38</c:f>
              <c:numCache>
                <c:formatCode>General</c:formatCode>
                <c:ptCount val="9"/>
                <c:pt idx="0">
                  <c:v>2</c:v>
                </c:pt>
                <c:pt idx="1">
                  <c:v>8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A3-4214-A498-9E11BD8E38AD}"/>
            </c:ext>
          </c:extLst>
        </c:ser>
        <c:ser>
          <c:idx val="2"/>
          <c:order val="2"/>
          <c:tx>
            <c:strRef>
              <c:f>'Customer Churn Analysis'!$C$29</c:f>
              <c:strCache>
                <c:ptCount val="1"/>
                <c:pt idx="0">
                  <c:v>Churned Customers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'Customer Churn Analysis'!$C$30:$C$38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4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A3-4214-A498-9E11BD8E3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4388928"/>
        <c:axId val="797163888"/>
      </c:barChart>
      <c:catAx>
        <c:axId val="11643889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163888"/>
        <c:crosses val="autoZero"/>
        <c:auto val="1"/>
        <c:lblAlgn val="ctr"/>
        <c:lblOffset val="100"/>
        <c:noMultiLvlLbl val="0"/>
      </c:catAx>
      <c:valAx>
        <c:axId val="79716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388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0</xdr:row>
      <xdr:rowOff>271462</xdr:rowOff>
    </xdr:from>
    <xdr:to>
      <xdr:col>11</xdr:col>
      <xdr:colOff>295275</xdr:colOff>
      <xdr:row>14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5503D2-9E3F-37FA-63F6-359FF7E7B9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15</xdr:row>
      <xdr:rowOff>185737</xdr:rowOff>
    </xdr:from>
    <xdr:to>
      <xdr:col>11</xdr:col>
      <xdr:colOff>304800</xdr:colOff>
      <xdr:row>29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FB5952-D7FF-4924-C55E-542DBD83D4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9525</xdr:colOff>
      <xdr:row>30</xdr:row>
      <xdr:rowOff>52387</xdr:rowOff>
    </xdr:from>
    <xdr:to>
      <xdr:col>11</xdr:col>
      <xdr:colOff>314325</xdr:colOff>
      <xdr:row>44</xdr:row>
      <xdr:rowOff>128587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8BD2FC7-3699-4256-B313-23605F4907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436997-15EE-47EC-9B9A-0AAE47068154}" name="Table1" displayName="Table1" ref="A1:H31" totalsRowShown="0">
  <autoFilter ref="A1:H31" xr:uid="{EC436997-15EE-47EC-9B9A-0AAE47068154}"/>
  <tableColumns count="8">
    <tableColumn id="1" xr3:uid="{A4193DF7-D202-49C5-8970-8B77026618BB}" name="Customer ID"/>
    <tableColumn id="2" xr3:uid="{EBA24A4F-FE9B-403D-91C8-286E82E4E6B0}" name="Age"/>
    <tableColumn id="3" xr3:uid="{4643A98A-BB1A-4631-8911-B46CF346B629}" name="Region"/>
    <tableColumn id="4" xr3:uid="{8298FBEC-56B5-40DE-B556-B75841D3AA27}" name="Contract Type"/>
    <tableColumn id="5" xr3:uid="{E83C03F4-AE30-4479-82E5-64186711D9F0}" name="Monthly Spend"/>
    <tableColumn id="6" xr3:uid="{A32692B9-F0D1-4DB6-838E-55E05051F0D8}" name="Tenure Months"/>
    <tableColumn id="7" xr3:uid="{44B6D1BB-EC55-4996-BB54-5D01440576D8}" name="Support Tickets"/>
    <tableColumn id="8" xr3:uid="{CAB6C1DA-F461-40BA-93E3-C750C0DCE01F}" name="Ch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5523E-0B04-4FA9-9EF0-FB82D44410E8}">
  <dimension ref="A1:H31"/>
  <sheetViews>
    <sheetView workbookViewId="0">
      <selection activeCell="L5" sqref="L5"/>
    </sheetView>
  </sheetViews>
  <sheetFormatPr defaultRowHeight="15" x14ac:dyDescent="0.25"/>
  <cols>
    <col min="1" max="1" width="14.5703125" customWidth="1"/>
    <col min="3" max="3" width="9.42578125" customWidth="1"/>
    <col min="4" max="4" width="15.7109375" customWidth="1"/>
    <col min="5" max="6" width="16.5703125" customWidth="1"/>
    <col min="7" max="7" width="17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24</v>
      </c>
      <c r="C2" t="s">
        <v>9</v>
      </c>
      <c r="D2" t="s">
        <v>10</v>
      </c>
      <c r="E2">
        <v>450</v>
      </c>
      <c r="F2">
        <v>6</v>
      </c>
      <c r="G2">
        <v>4</v>
      </c>
      <c r="H2" t="s">
        <v>11</v>
      </c>
    </row>
    <row r="3" spans="1:8" x14ac:dyDescent="0.25">
      <c r="A3" t="s">
        <v>12</v>
      </c>
      <c r="B3">
        <v>31</v>
      </c>
      <c r="C3" t="s">
        <v>13</v>
      </c>
      <c r="D3" t="s">
        <v>14</v>
      </c>
      <c r="E3">
        <v>850</v>
      </c>
      <c r="F3">
        <v>24</v>
      </c>
      <c r="G3">
        <v>1</v>
      </c>
      <c r="H3" t="s">
        <v>15</v>
      </c>
    </row>
    <row r="4" spans="1:8" x14ac:dyDescent="0.25">
      <c r="A4" t="s">
        <v>16</v>
      </c>
      <c r="B4">
        <v>45</v>
      </c>
      <c r="C4" t="s">
        <v>17</v>
      </c>
      <c r="D4" t="s">
        <v>10</v>
      </c>
      <c r="E4">
        <v>650</v>
      </c>
      <c r="F4">
        <v>12</v>
      </c>
      <c r="G4">
        <v>3</v>
      </c>
      <c r="H4" t="s">
        <v>15</v>
      </c>
    </row>
    <row r="5" spans="1:8" x14ac:dyDescent="0.25">
      <c r="A5" t="s">
        <v>18</v>
      </c>
      <c r="B5">
        <v>29</v>
      </c>
      <c r="C5" t="s">
        <v>9</v>
      </c>
      <c r="D5" t="s">
        <v>10</v>
      </c>
      <c r="E5">
        <v>550</v>
      </c>
      <c r="F5">
        <v>8</v>
      </c>
      <c r="G5">
        <v>5</v>
      </c>
      <c r="H5" t="s">
        <v>11</v>
      </c>
    </row>
    <row r="6" spans="1:8" x14ac:dyDescent="0.25">
      <c r="A6" t="s">
        <v>19</v>
      </c>
      <c r="B6">
        <v>52</v>
      </c>
      <c r="C6" t="s">
        <v>20</v>
      </c>
      <c r="D6" t="s">
        <v>14</v>
      </c>
      <c r="E6">
        <v>950</v>
      </c>
      <c r="F6">
        <v>36</v>
      </c>
      <c r="G6">
        <v>1</v>
      </c>
      <c r="H6" t="s">
        <v>15</v>
      </c>
    </row>
    <row r="7" spans="1:8" x14ac:dyDescent="0.25">
      <c r="A7" t="s">
        <v>21</v>
      </c>
      <c r="B7">
        <v>38</v>
      </c>
      <c r="C7" t="s">
        <v>13</v>
      </c>
      <c r="D7" t="s">
        <v>10</v>
      </c>
      <c r="E7">
        <v>700</v>
      </c>
      <c r="F7">
        <v>18</v>
      </c>
      <c r="G7">
        <v>2</v>
      </c>
      <c r="H7" t="s">
        <v>15</v>
      </c>
    </row>
    <row r="8" spans="1:8" x14ac:dyDescent="0.25">
      <c r="A8" t="s">
        <v>22</v>
      </c>
      <c r="B8">
        <v>26</v>
      </c>
      <c r="C8" t="s">
        <v>9</v>
      </c>
      <c r="D8" t="s">
        <v>10</v>
      </c>
      <c r="E8">
        <v>400</v>
      </c>
      <c r="F8">
        <v>5</v>
      </c>
      <c r="G8">
        <v>6</v>
      </c>
      <c r="H8" t="s">
        <v>11</v>
      </c>
    </row>
    <row r="9" spans="1:8" x14ac:dyDescent="0.25">
      <c r="A9" t="s">
        <v>23</v>
      </c>
      <c r="B9">
        <v>41</v>
      </c>
      <c r="C9" t="s">
        <v>17</v>
      </c>
      <c r="D9" t="s">
        <v>14</v>
      </c>
      <c r="E9">
        <v>900</v>
      </c>
      <c r="F9">
        <v>30</v>
      </c>
      <c r="G9">
        <v>1</v>
      </c>
      <c r="H9" t="s">
        <v>15</v>
      </c>
    </row>
    <row r="10" spans="1:8" x14ac:dyDescent="0.25">
      <c r="A10" t="s">
        <v>24</v>
      </c>
      <c r="B10">
        <v>34</v>
      </c>
      <c r="C10" t="s">
        <v>20</v>
      </c>
      <c r="D10" t="s">
        <v>10</v>
      </c>
      <c r="E10">
        <v>600</v>
      </c>
      <c r="F10">
        <v>10</v>
      </c>
      <c r="G10">
        <v>4</v>
      </c>
      <c r="H10" t="s">
        <v>11</v>
      </c>
    </row>
    <row r="11" spans="1:8" x14ac:dyDescent="0.25">
      <c r="A11" t="s">
        <v>25</v>
      </c>
      <c r="B11">
        <v>47</v>
      </c>
      <c r="C11" t="s">
        <v>9</v>
      </c>
      <c r="D11" t="s">
        <v>14</v>
      </c>
      <c r="E11">
        <v>1100</v>
      </c>
      <c r="F11">
        <v>48</v>
      </c>
      <c r="G11">
        <v>0</v>
      </c>
      <c r="H11" t="s">
        <v>15</v>
      </c>
    </row>
    <row r="12" spans="1:8" x14ac:dyDescent="0.25">
      <c r="A12" t="s">
        <v>26</v>
      </c>
      <c r="B12">
        <v>22</v>
      </c>
      <c r="C12" t="s">
        <v>13</v>
      </c>
      <c r="D12" t="s">
        <v>10</v>
      </c>
      <c r="E12">
        <v>350</v>
      </c>
      <c r="F12">
        <v>4</v>
      </c>
      <c r="G12">
        <v>7</v>
      </c>
      <c r="H12" t="s">
        <v>11</v>
      </c>
    </row>
    <row r="13" spans="1:8" x14ac:dyDescent="0.25">
      <c r="A13" t="s">
        <v>27</v>
      </c>
      <c r="B13">
        <v>36</v>
      </c>
      <c r="C13" t="s">
        <v>9</v>
      </c>
      <c r="D13" t="s">
        <v>14</v>
      </c>
      <c r="E13">
        <v>800</v>
      </c>
      <c r="F13">
        <v>20</v>
      </c>
      <c r="G13">
        <v>2</v>
      </c>
      <c r="H13" t="s">
        <v>15</v>
      </c>
    </row>
    <row r="14" spans="1:8" x14ac:dyDescent="0.25">
      <c r="A14" t="s">
        <v>28</v>
      </c>
      <c r="B14">
        <v>55</v>
      </c>
      <c r="C14" t="s">
        <v>17</v>
      </c>
      <c r="D14" t="s">
        <v>10</v>
      </c>
      <c r="E14">
        <v>750</v>
      </c>
      <c r="F14">
        <v>15</v>
      </c>
      <c r="G14">
        <v>3</v>
      </c>
      <c r="H14" t="s">
        <v>15</v>
      </c>
    </row>
    <row r="15" spans="1:8" x14ac:dyDescent="0.25">
      <c r="A15" t="s">
        <v>29</v>
      </c>
      <c r="B15">
        <v>28</v>
      </c>
      <c r="C15" t="s">
        <v>20</v>
      </c>
      <c r="D15" t="s">
        <v>10</v>
      </c>
      <c r="E15">
        <v>500</v>
      </c>
      <c r="F15">
        <v>7</v>
      </c>
      <c r="G15">
        <v>5</v>
      </c>
      <c r="H15" t="s">
        <v>11</v>
      </c>
    </row>
    <row r="16" spans="1:8" x14ac:dyDescent="0.25">
      <c r="A16" t="s">
        <v>30</v>
      </c>
      <c r="B16">
        <v>43</v>
      </c>
      <c r="C16" t="s">
        <v>9</v>
      </c>
      <c r="D16" t="s">
        <v>14</v>
      </c>
      <c r="E16">
        <v>1000</v>
      </c>
      <c r="F16">
        <v>42</v>
      </c>
      <c r="G16">
        <v>1</v>
      </c>
      <c r="H16" t="s">
        <v>15</v>
      </c>
    </row>
    <row r="17" spans="1:8" x14ac:dyDescent="0.25">
      <c r="A17" t="s">
        <v>31</v>
      </c>
      <c r="B17">
        <v>33</v>
      </c>
      <c r="C17" t="s">
        <v>13</v>
      </c>
      <c r="D17" t="s">
        <v>10</v>
      </c>
      <c r="E17">
        <v>620</v>
      </c>
      <c r="F17">
        <v>14</v>
      </c>
      <c r="G17">
        <v>3</v>
      </c>
      <c r="H17" t="s">
        <v>15</v>
      </c>
    </row>
    <row r="18" spans="1:8" x14ac:dyDescent="0.25">
      <c r="A18" t="s">
        <v>32</v>
      </c>
      <c r="B18">
        <v>25</v>
      </c>
      <c r="C18" t="s">
        <v>9</v>
      </c>
      <c r="D18" t="s">
        <v>10</v>
      </c>
      <c r="E18">
        <v>480</v>
      </c>
      <c r="F18">
        <v>6</v>
      </c>
      <c r="G18">
        <v>6</v>
      </c>
      <c r="H18" t="s">
        <v>11</v>
      </c>
    </row>
    <row r="19" spans="1:8" x14ac:dyDescent="0.25">
      <c r="A19" t="s">
        <v>33</v>
      </c>
      <c r="B19">
        <v>49</v>
      </c>
      <c r="C19" t="s">
        <v>17</v>
      </c>
      <c r="D19" t="s">
        <v>14</v>
      </c>
      <c r="E19">
        <v>920</v>
      </c>
      <c r="F19">
        <v>32</v>
      </c>
      <c r="G19">
        <v>1</v>
      </c>
      <c r="H19" t="s">
        <v>15</v>
      </c>
    </row>
    <row r="20" spans="1:8" x14ac:dyDescent="0.25">
      <c r="A20" t="s">
        <v>34</v>
      </c>
      <c r="B20">
        <v>37</v>
      </c>
      <c r="C20" t="s">
        <v>20</v>
      </c>
      <c r="D20" t="s">
        <v>10</v>
      </c>
      <c r="E20">
        <v>580</v>
      </c>
      <c r="F20">
        <v>11</v>
      </c>
      <c r="G20">
        <v>4</v>
      </c>
      <c r="H20" t="s">
        <v>11</v>
      </c>
    </row>
    <row r="21" spans="1:8" x14ac:dyDescent="0.25">
      <c r="A21" t="s">
        <v>35</v>
      </c>
      <c r="B21">
        <v>58</v>
      </c>
      <c r="C21" t="s">
        <v>9</v>
      </c>
      <c r="D21" t="s">
        <v>14</v>
      </c>
      <c r="E21">
        <v>1200</v>
      </c>
      <c r="F21">
        <v>50</v>
      </c>
      <c r="G21">
        <v>0</v>
      </c>
      <c r="H21" t="s">
        <v>15</v>
      </c>
    </row>
    <row r="22" spans="1:8" x14ac:dyDescent="0.25">
      <c r="A22" t="s">
        <v>36</v>
      </c>
      <c r="B22">
        <v>30</v>
      </c>
      <c r="C22" t="s">
        <v>13</v>
      </c>
      <c r="D22" t="s">
        <v>10</v>
      </c>
      <c r="E22">
        <v>530</v>
      </c>
      <c r="F22">
        <v>9</v>
      </c>
      <c r="G22">
        <v>5</v>
      </c>
      <c r="H22" t="s">
        <v>11</v>
      </c>
    </row>
    <row r="23" spans="1:8" x14ac:dyDescent="0.25">
      <c r="A23" t="s">
        <v>37</v>
      </c>
      <c r="B23">
        <v>40</v>
      </c>
      <c r="C23" t="s">
        <v>9</v>
      </c>
      <c r="D23" t="s">
        <v>14</v>
      </c>
      <c r="E23">
        <v>880</v>
      </c>
      <c r="F23">
        <v>27</v>
      </c>
      <c r="G23">
        <v>2</v>
      </c>
      <c r="H23" t="s">
        <v>15</v>
      </c>
    </row>
    <row r="24" spans="1:8" x14ac:dyDescent="0.25">
      <c r="A24" t="s">
        <v>44</v>
      </c>
      <c r="B24">
        <v>27</v>
      </c>
      <c r="C24" t="s">
        <v>17</v>
      </c>
      <c r="D24" t="s">
        <v>10</v>
      </c>
      <c r="E24">
        <v>460</v>
      </c>
      <c r="F24">
        <v>5</v>
      </c>
      <c r="G24">
        <v>6</v>
      </c>
      <c r="H24" t="s">
        <v>11</v>
      </c>
    </row>
    <row r="25" spans="1:8" x14ac:dyDescent="0.25">
      <c r="A25" t="s">
        <v>45</v>
      </c>
      <c r="B25">
        <v>46</v>
      </c>
      <c r="C25" t="s">
        <v>20</v>
      </c>
      <c r="D25" t="s">
        <v>14</v>
      </c>
      <c r="E25">
        <v>980</v>
      </c>
      <c r="F25">
        <v>40</v>
      </c>
      <c r="G25">
        <v>1</v>
      </c>
      <c r="H25" t="s">
        <v>15</v>
      </c>
    </row>
    <row r="26" spans="1:8" x14ac:dyDescent="0.25">
      <c r="A26" t="s">
        <v>46</v>
      </c>
      <c r="B26">
        <v>35</v>
      </c>
      <c r="C26" t="s">
        <v>9</v>
      </c>
      <c r="D26" t="s">
        <v>10</v>
      </c>
      <c r="E26">
        <v>610</v>
      </c>
      <c r="F26">
        <v>13</v>
      </c>
      <c r="G26">
        <v>3</v>
      </c>
      <c r="H26" t="s">
        <v>15</v>
      </c>
    </row>
    <row r="27" spans="1:8" x14ac:dyDescent="0.25">
      <c r="A27" t="s">
        <v>47</v>
      </c>
      <c r="B27">
        <v>23</v>
      </c>
      <c r="C27" t="s">
        <v>13</v>
      </c>
      <c r="D27" t="s">
        <v>10</v>
      </c>
      <c r="E27">
        <v>390</v>
      </c>
      <c r="F27">
        <v>3</v>
      </c>
      <c r="G27">
        <v>8</v>
      </c>
      <c r="H27" t="s">
        <v>11</v>
      </c>
    </row>
    <row r="28" spans="1:8" x14ac:dyDescent="0.25">
      <c r="A28" t="s">
        <v>48</v>
      </c>
      <c r="B28">
        <v>51</v>
      </c>
      <c r="C28" t="s">
        <v>9</v>
      </c>
      <c r="D28" t="s">
        <v>14</v>
      </c>
      <c r="E28">
        <v>1050</v>
      </c>
      <c r="F28">
        <v>45</v>
      </c>
      <c r="G28">
        <v>1</v>
      </c>
      <c r="H28" t="s">
        <v>15</v>
      </c>
    </row>
    <row r="29" spans="1:8" x14ac:dyDescent="0.25">
      <c r="A29" t="s">
        <v>49</v>
      </c>
      <c r="B29">
        <v>39</v>
      </c>
      <c r="C29" t="s">
        <v>17</v>
      </c>
      <c r="D29" t="s">
        <v>10</v>
      </c>
      <c r="E29">
        <v>680</v>
      </c>
      <c r="F29">
        <v>16</v>
      </c>
      <c r="G29">
        <v>2</v>
      </c>
      <c r="H29" t="s">
        <v>15</v>
      </c>
    </row>
    <row r="30" spans="1:8" x14ac:dyDescent="0.25">
      <c r="A30" t="s">
        <v>50</v>
      </c>
      <c r="B30">
        <v>32</v>
      </c>
      <c r="C30" t="s">
        <v>20</v>
      </c>
      <c r="D30" t="s">
        <v>10</v>
      </c>
      <c r="E30">
        <v>570</v>
      </c>
      <c r="F30">
        <v>9</v>
      </c>
      <c r="G30">
        <v>5</v>
      </c>
      <c r="H30" t="s">
        <v>11</v>
      </c>
    </row>
    <row r="31" spans="1:8" x14ac:dyDescent="0.25">
      <c r="A31" t="s">
        <v>51</v>
      </c>
      <c r="B31">
        <v>44</v>
      </c>
      <c r="C31" t="s">
        <v>9</v>
      </c>
      <c r="D31" t="s">
        <v>14</v>
      </c>
      <c r="E31">
        <v>990</v>
      </c>
      <c r="F31">
        <v>38</v>
      </c>
      <c r="G31">
        <v>1</v>
      </c>
      <c r="H31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0590B-2C4A-4734-B9F1-C132AA97F6DD}">
  <dimension ref="A1:C38"/>
  <sheetViews>
    <sheetView tabSelected="1" topLeftCell="A26" workbookViewId="0">
      <selection activeCell="A29" sqref="A29:C38"/>
    </sheetView>
  </sheetViews>
  <sheetFormatPr defaultRowHeight="15" x14ac:dyDescent="0.25"/>
  <cols>
    <col min="1" max="1" width="23.42578125" bestFit="1" customWidth="1"/>
    <col min="2" max="2" width="15.42578125" bestFit="1" customWidth="1"/>
    <col min="3" max="3" width="18.5703125" bestFit="1" customWidth="1"/>
  </cols>
  <sheetData>
    <row r="1" spans="1:3" ht="24" x14ac:dyDescent="0.4">
      <c r="A1" s="7" t="s">
        <v>41</v>
      </c>
      <c r="B1" s="7"/>
      <c r="C1" s="7"/>
    </row>
    <row r="3" spans="1:3" x14ac:dyDescent="0.25">
      <c r="A3" s="1" t="s">
        <v>38</v>
      </c>
      <c r="B3" s="1">
        <f>COUNTA('Customer Data'!A2:A31)</f>
        <v>30</v>
      </c>
    </row>
    <row r="4" spans="1:3" x14ac:dyDescent="0.25">
      <c r="A4" s="1" t="s">
        <v>39</v>
      </c>
      <c r="B4" s="3">
        <f>COUNTIF('Customer Data'!H2:H31,"Yes")</f>
        <v>12</v>
      </c>
    </row>
    <row r="5" spans="1:3" x14ac:dyDescent="0.25">
      <c r="A5" s="1" t="s">
        <v>40</v>
      </c>
      <c r="B5" s="4">
        <f>B4/B3</f>
        <v>0.4</v>
      </c>
    </row>
    <row r="6" spans="1:3" x14ac:dyDescent="0.25">
      <c r="A6" s="1" t="s">
        <v>42</v>
      </c>
      <c r="B6" s="5">
        <f>AVERAGE('Customer Data'!E2:E31)</f>
        <v>716.33333333333337</v>
      </c>
    </row>
    <row r="7" spans="1:3" x14ac:dyDescent="0.25">
      <c r="A7" s="1" t="s">
        <v>43</v>
      </c>
      <c r="B7" s="1">
        <f>AVERAGE('Customer Data'!F2:F31)</f>
        <v>20.100000000000001</v>
      </c>
    </row>
    <row r="10" spans="1:3" ht="18.75" x14ac:dyDescent="0.3">
      <c r="A10" s="6" t="s">
        <v>52</v>
      </c>
    </row>
    <row r="12" spans="1:3" x14ac:dyDescent="0.25">
      <c r="A12" t="s">
        <v>3</v>
      </c>
      <c r="B12" t="s">
        <v>38</v>
      </c>
      <c r="C12" t="s">
        <v>39</v>
      </c>
    </row>
    <row r="13" spans="1:3" x14ac:dyDescent="0.25">
      <c r="A13" t="s">
        <v>10</v>
      </c>
      <c r="B13">
        <f>COUNTIF('Customer Data'!D$2:D$31,A13)</f>
        <v>18</v>
      </c>
      <c r="C13">
        <f>COUNTIFS('Customer Data'!D$2:D$31,A13,'Customer Data'!H$2:H$31,"Yes")</f>
        <v>12</v>
      </c>
    </row>
    <row r="14" spans="1:3" x14ac:dyDescent="0.25">
      <c r="A14" t="s">
        <v>14</v>
      </c>
      <c r="B14">
        <f>COUNTIF('Customer Data'!D$2:D$31,A14)</f>
        <v>12</v>
      </c>
      <c r="C14">
        <f>COUNTIFS('Customer Data'!D$2:D$31,A14,'Customer Data'!H$2:H$31,"Yes")</f>
        <v>0</v>
      </c>
    </row>
    <row r="17" spans="1:3" ht="18.75" x14ac:dyDescent="0.3">
      <c r="A17" s="6" t="s">
        <v>53</v>
      </c>
    </row>
    <row r="19" spans="1:3" x14ac:dyDescent="0.25">
      <c r="A19" t="s">
        <v>2</v>
      </c>
      <c r="B19" t="s">
        <v>38</v>
      </c>
      <c r="C19" t="s">
        <v>39</v>
      </c>
    </row>
    <row r="20" spans="1:3" x14ac:dyDescent="0.25">
      <c r="A20" t="s">
        <v>9</v>
      </c>
      <c r="B20">
        <f>COUNTIF('Customer Data'!C$2:C$31,A20)</f>
        <v>12</v>
      </c>
      <c r="C20">
        <f>COUNTIFS('Customer Data'!C$2:C$31,A20,'Customer Data'!H$2:H$31,"Yes")</f>
        <v>4</v>
      </c>
    </row>
    <row r="21" spans="1:3" x14ac:dyDescent="0.25">
      <c r="A21" t="s">
        <v>13</v>
      </c>
      <c r="B21">
        <f>COUNTIF('Customer Data'!C$2:C$31,A21)</f>
        <v>6</v>
      </c>
      <c r="C21">
        <f>COUNTIFS('Customer Data'!C$2:C$31,A21,'Customer Data'!H$2:H$31,"Yes")</f>
        <v>3</v>
      </c>
    </row>
    <row r="22" spans="1:3" x14ac:dyDescent="0.25">
      <c r="A22" t="s">
        <v>17</v>
      </c>
      <c r="B22">
        <f>COUNTIF('Customer Data'!C$2:C$31,A22)</f>
        <v>6</v>
      </c>
      <c r="C22">
        <f>COUNTIFS('Customer Data'!C$2:C$31,A22,'Customer Data'!H$2:H$31,"Yes")</f>
        <v>1</v>
      </c>
    </row>
    <row r="23" spans="1:3" x14ac:dyDescent="0.25">
      <c r="A23" t="s">
        <v>20</v>
      </c>
      <c r="B23">
        <f>COUNTIF('Customer Data'!C$2:C$31,A23)</f>
        <v>6</v>
      </c>
      <c r="C23">
        <f>COUNTIFS('Customer Data'!C$2:C$31,A23,'Customer Data'!H$2:H$31,"Yes")</f>
        <v>4</v>
      </c>
    </row>
    <row r="27" spans="1:3" ht="18.75" x14ac:dyDescent="0.3">
      <c r="A27" s="6" t="s">
        <v>54</v>
      </c>
    </row>
    <row r="29" spans="1:3" x14ac:dyDescent="0.25">
      <c r="A29" s="2" t="s">
        <v>6</v>
      </c>
      <c r="B29" s="2" t="s">
        <v>55</v>
      </c>
      <c r="C29" s="2" t="s">
        <v>39</v>
      </c>
    </row>
    <row r="30" spans="1:3" x14ac:dyDescent="0.25">
      <c r="A30" s="1">
        <v>0</v>
      </c>
      <c r="B30" s="1">
        <f>COUNTIF('Customer Data'!G$2:G$31,A30)</f>
        <v>2</v>
      </c>
      <c r="C30" s="1">
        <f>COUNTIFS('Customer Data'!G$2:G$31,A30,'Customer Data'!H$2:H$31,"Yes")</f>
        <v>0</v>
      </c>
    </row>
    <row r="31" spans="1:3" x14ac:dyDescent="0.25">
      <c r="A31" s="1">
        <v>1</v>
      </c>
      <c r="B31" s="1">
        <f>COUNTIF('Customer Data'!G$2:G$31,A31)</f>
        <v>8</v>
      </c>
      <c r="C31" s="1">
        <f>COUNTIFS('Customer Data'!G$2:G$31,A31,'Customer Data'!H$2:H$31,"Yes")</f>
        <v>0</v>
      </c>
    </row>
    <row r="32" spans="1:3" x14ac:dyDescent="0.25">
      <c r="A32" s="1">
        <v>2</v>
      </c>
      <c r="B32" s="1">
        <f>COUNTIF('Customer Data'!G$2:G$31,A32)</f>
        <v>4</v>
      </c>
      <c r="C32" s="1">
        <f>COUNTIFS('Customer Data'!G$2:G$31,A32,'Customer Data'!H$2:H$31,"Yes")</f>
        <v>0</v>
      </c>
    </row>
    <row r="33" spans="1:3" x14ac:dyDescent="0.25">
      <c r="A33" s="1">
        <v>3</v>
      </c>
      <c r="B33" s="1">
        <f>COUNTIF('Customer Data'!G$2:G$31,A33)</f>
        <v>4</v>
      </c>
      <c r="C33" s="1">
        <f>COUNTIFS('Customer Data'!G$2:G$31,A33,'Customer Data'!H$2:H$31,"Yes")</f>
        <v>0</v>
      </c>
    </row>
    <row r="34" spans="1:3" x14ac:dyDescent="0.25">
      <c r="A34" s="1">
        <v>4</v>
      </c>
      <c r="B34" s="1">
        <f>COUNTIF('Customer Data'!G$2:G$31,A34)</f>
        <v>3</v>
      </c>
      <c r="C34" s="1">
        <f>COUNTIFS('Customer Data'!G$2:G$31,A34,'Customer Data'!H$2:H$31,"Yes")</f>
        <v>3</v>
      </c>
    </row>
    <row r="35" spans="1:3" x14ac:dyDescent="0.25">
      <c r="A35" s="1">
        <v>5</v>
      </c>
      <c r="B35" s="1">
        <f>COUNTIF('Customer Data'!G$2:G$31,A35)</f>
        <v>4</v>
      </c>
      <c r="C35" s="1">
        <f>COUNTIFS('Customer Data'!G$2:G$31,A35,'Customer Data'!H$2:H$31,"Yes")</f>
        <v>4</v>
      </c>
    </row>
    <row r="36" spans="1:3" x14ac:dyDescent="0.25">
      <c r="A36" s="1">
        <v>6</v>
      </c>
      <c r="B36" s="1">
        <f>COUNTIF('Customer Data'!G$2:G$31,A36)</f>
        <v>3</v>
      </c>
      <c r="C36" s="1">
        <f>COUNTIFS('Customer Data'!G$2:G$31,A36,'Customer Data'!H$2:H$31,"Yes")</f>
        <v>3</v>
      </c>
    </row>
    <row r="37" spans="1:3" x14ac:dyDescent="0.25">
      <c r="A37" s="1">
        <v>7</v>
      </c>
      <c r="B37" s="1">
        <f>COUNTIF('Customer Data'!G$2:G$31,A37)</f>
        <v>1</v>
      </c>
      <c r="C37" s="1">
        <f>COUNTIFS('Customer Data'!G$2:G$31,A37,'Customer Data'!H$2:H$31,"Yes")</f>
        <v>1</v>
      </c>
    </row>
    <row r="38" spans="1:3" x14ac:dyDescent="0.25">
      <c r="A38" s="1">
        <v>8</v>
      </c>
      <c r="B38" s="1">
        <f>COUNTIF('Customer Data'!G$2:G$31,A38)</f>
        <v>1</v>
      </c>
      <c r="C38" s="1">
        <f>COUNTIFS('Customer Data'!G$2:G$31,A38,'Customer Data'!H$2:H$31,"Yes")</f>
        <v>1</v>
      </c>
    </row>
  </sheetData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 Data</vt:lpstr>
      <vt:lpstr>Customer Churn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Thembinkosi Tshabalala</dc:creator>
  <cp:lastModifiedBy>Thembinkosi Tshabalala</cp:lastModifiedBy>
  <dcterms:created xsi:type="dcterms:W3CDTF">2026-09-28T22:38:10Z</dcterms:created>
  <dcterms:modified xsi:type="dcterms:W3CDTF">2026-09-28T23:26:34Z</dcterms:modified>
</cp:coreProperties>
</file>